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t70wvh\Documents\GitHub\Plot-those-lines\"/>
    </mc:Choice>
  </mc:AlternateContent>
  <xr:revisionPtr revIDLastSave="0" documentId="13_ncr:1_{93356314-CD52-4C77-AC32-C493AD5BC173}" xr6:coauthVersionLast="47" xr6:coauthVersionMax="47" xr10:uidLastSave="{00000000-0000-0000-0000-000000000000}"/>
  <bookViews>
    <workbookView xWindow="28680" yWindow="705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<sst xmlns="http://schemas.openxmlformats.org/spreadsheetml/2006/main" count="64" uniqueCount="47">
  <si>
    <t>Journal de travail</t>
  </si>
  <si>
    <t>Auteur:</t>
  </si>
  <si>
    <t>Projet:</t>
  </si>
  <si>
    <t>Temps total:</t>
  </si>
  <si>
    <t>Date:</t>
  </si>
  <si>
    <t>29.08.2025 au 31.10.2025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</si>
  <si>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</si>
  <si>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</si>
  <si>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</si>
  <si>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</si>
  <si>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</si>
  <si>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</si>
  <si>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</si>
  <si>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</si>
  <si>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Documentation</t>
  </si>
  <si>
    <t>Analyse</t>
  </si>
  <si>
    <t>Implémentation</t>
  </si>
  <si>
    <t>Test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</si>
  <si>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</si>
  <si>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</si>
  <si>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</si>
  <si>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</si>
  <si>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</si>
  <si>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</si>
  <si>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</si>
  <si>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</si>
  <si>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</si>
  <si>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</si>
  <si>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</si>
  <si>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</si>
  <si>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PlotThoseLines</t>
  </si>
  <si>
    <t>Blanchoud Emma</t>
  </si>
  <si>
    <t xml:space="preserve">Compréhension du projet et création de la maquette </t>
  </si>
  <si>
    <t>Terminer la maquette et faire valider</t>
  </si>
  <si>
    <t>Création du projet et essaie d'afficher un graphique</t>
  </si>
  <si>
    <t xml:space="preserve">Recherche sur blazor et recherche d'une librairie de graphique </t>
  </si>
  <si>
    <t>Continuer dessayer d'afficher un graphique</t>
  </si>
  <si>
    <t>Tester les extensions avec tout les types de projet pour essayer d'afficher un graphique</t>
  </si>
  <si>
    <t>Aucune extension ne permet d'afficher un graphique (Blazorise, ChartJS)</t>
  </si>
  <si>
    <t>Le problème ne vient pas des extensions mais du projet visual studio 2022</t>
  </si>
  <si>
    <t>Modification des données du graphique</t>
  </si>
  <si>
    <t>Recherche d'un autre moyen d'utiliser des graphiques avec Blazor</t>
  </si>
  <si>
    <t>Création de l'application avec le modèle .NET MAUI Blazor Hybrid App</t>
  </si>
  <si>
    <t>Ajout d'un graphique avec des données de test</t>
  </si>
  <si>
    <t>https://github.com/apexcharts/Blazor-ApexCharts</t>
  </si>
  <si>
    <t>https://apexcharts.com/docs/options/</t>
  </si>
  <si>
    <t>Ajouter un svg ou json dans le graphique (en cours)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</si>
</sst>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265</c:v>
                </c:pt>
                <c:pt idx="1">
                  <c:v>815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0.25</c:v>
                </c:pt>
                <c:pt idx="4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0.25</c:v>
                </c:pt>
                <c:pt idx="4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0.24537037037037038</c:v>
                </c:pt>
                <c:pt idx="1">
                  <c:v>0.75462962962962965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apexcharts.com/docs/options/" TargetMode="External"/><Relationship Id="rId1" Type="http://schemas.openxmlformats.org/officeDocument/2006/relationships/hyperlink" Target="https://github.com/apexcharts/Blazor-ApexCharts" TargetMode="Externa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120" zoomScaleNormal="120" workbookViewId="0">
      <pane ySplit="6" topLeftCell="A7" activePane="bottomLeft" state="frozen"/>
      <selection pane="bottomLeft" activeCell="F17" sqref="F17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31</v>
      </c>
      <c r="D2" s="84"/>
      <c r="E2" s="84"/>
      <c r="F2" s="5" t="s">
        <v>2</v>
      </c>
      <c r="G2" s="64" t="s">
        <v>30</v>
      </c>
    </row>
    <row r="3" spans="1:15" ht="23.25" x14ac:dyDescent="0.35">
      <c r="A3" s="86" t="s">
        <v>3</v>
      </c>
      <c r="B3" s="86"/>
      <c r="C3" s="67" t="str">
        <f>QUOTIENT(E4,60)&amp;" heures "&amp;MOD(E4,60)&amp;" minutes"</f>
        <v>18 heures 0 minutes</v>
      </c>
      <c r="D3" s="17"/>
      <c r="E3" s="3"/>
      <c r="F3" s="4" t="s">
        <v>4</v>
      </c>
      <c r="G3" s="65" t="s">
        <v>5</v>
      </c>
    </row>
    <row r="4" spans="1:15" ht="23.25" hidden="1" x14ac:dyDescent="0.35">
      <c r="B4" s="5"/>
      <c r="C4" s="17">
        <f>SUBTOTAL(9,$C$7:$C$531)*60</f>
        <v>840</v>
      </c>
      <c r="D4" s="17">
        <f>SUBTOTAL(9,$D$7:$D$531)</f>
        <v>240</v>
      </c>
      <c r="E4" s="24">
        <f>SUM(C4:D4)</f>
        <v>1080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36</v>
      </c>
      <c r="B7" s="26">
        <v>45903</v>
      </c>
      <c r="C7" s="27">
        <v>3</v>
      </c>
      <c r="D7" s="28">
        <v>0</v>
      </c>
      <c r="E7" s="29" t="s">
        <v>15</v>
      </c>
      <c r="F7" s="23" t="s">
        <v>32</v>
      </c>
      <c r="G7" s="38"/>
    </row>
    <row r="8" spans="1:15" x14ac:dyDescent="0.25">
      <c r="A8" s="62">
        <f>IF(ISBLANK(B8),"",_xlfn.ISOWEEKNUM('Journal de travail'!$B8))</f>
        <v>37</v>
      </c>
      <c r="B8" s="30">
        <v>45910</v>
      </c>
      <c r="C8" s="31"/>
      <c r="D8" s="32">
        <v>20</v>
      </c>
      <c r="E8" s="33" t="s">
        <v>15</v>
      </c>
      <c r="F8" s="23" t="s">
        <v>33</v>
      </c>
      <c r="G8" s="39"/>
      <c r="M8" t="s">
        <v>15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37</v>
      </c>
      <c r="B9" s="34">
        <v>45910</v>
      </c>
      <c r="C9" s="35">
        <v>2</v>
      </c>
      <c r="D9" s="36">
        <v>40</v>
      </c>
      <c r="E9" s="37" t="s">
        <v>16</v>
      </c>
      <c r="F9" s="23" t="s">
        <v>34</v>
      </c>
      <c r="G9" s="40"/>
      <c r="M9" t="s">
        <v>16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38</v>
      </c>
      <c r="B10" s="30">
        <v>45917</v>
      </c>
      <c r="C10" s="31"/>
      <c r="D10" s="32">
        <v>45</v>
      </c>
      <c r="E10" s="33" t="s">
        <v>15</v>
      </c>
      <c r="F10" s="23" t="s">
        <v>35</v>
      </c>
      <c r="G10" s="39"/>
      <c r="M10" t="s">
        <v>17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38</v>
      </c>
      <c r="B11" s="34">
        <v>45917</v>
      </c>
      <c r="C11" s="35">
        <v>2</v>
      </c>
      <c r="D11" s="36">
        <v>15</v>
      </c>
      <c r="E11" s="37" t="s">
        <v>16</v>
      </c>
      <c r="F11" s="23" t="s">
        <v>36</v>
      </c>
      <c r="G11" s="40" t="s">
        <v>38</v>
      </c>
      <c r="M11" t="s">
        <v>14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39</v>
      </c>
      <c r="B12" s="30">
        <v>45924</v>
      </c>
      <c r="C12" s="31">
        <v>3</v>
      </c>
      <c r="D12" s="32">
        <v>0</v>
      </c>
      <c r="E12" s="33" t="s">
        <v>16</v>
      </c>
      <c r="F12" s="23" t="s">
        <v>37</v>
      </c>
      <c r="G12" s="39" t="s">
        <v>39</v>
      </c>
      <c r="M12" t="s">
        <v>18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40</v>
      </c>
      <c r="B13" s="34">
        <v>45931</v>
      </c>
      <c r="C13" s="35"/>
      <c r="D13" s="36">
        <v>20</v>
      </c>
      <c r="E13" s="37" t="s">
        <v>15</v>
      </c>
      <c r="F13" s="23" t="s">
        <v>41</v>
      </c>
      <c r="G13" s="40"/>
      <c r="N13">
        <v>6</v>
      </c>
      <c r="O13">
        <v>25</v>
      </c>
    </row>
    <row r="14" spans="1:15" x14ac:dyDescent="0.25">
      <c r="A14" s="62">
        <f>IF(ISBLANK(B14),"",_xlfn.ISOWEEKNUM('Journal de travail'!$B14))</f>
        <v>40</v>
      </c>
      <c r="B14" s="30">
        <v>45931</v>
      </c>
      <c r="C14" s="31"/>
      <c r="D14" s="32">
        <v>35</v>
      </c>
      <c r="E14" s="33" t="s">
        <v>16</v>
      </c>
      <c r="F14" s="23" t="s">
        <v>42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40</v>
      </c>
      <c r="B15" s="34">
        <v>45931</v>
      </c>
      <c r="C15" s="35">
        <v>1</v>
      </c>
      <c r="D15" s="36">
        <v>40</v>
      </c>
      <c r="E15" s="37" t="s">
        <v>16</v>
      </c>
      <c r="F15" s="23" t="s">
        <v>43</v>
      </c>
      <c r="G15" s="87" t="s">
        <v>44</v>
      </c>
      <c r="N15">
        <v>8</v>
      </c>
      <c r="O15">
        <v>35</v>
      </c>
    </row>
    <row r="16" spans="1:15" x14ac:dyDescent="0.25">
      <c r="A16" s="62">
        <f>IF(ISBLANK(B16),"",_xlfn.ISOWEEKNUM('Journal de travail'!$B16))</f>
        <v>40</v>
      </c>
      <c r="B16" s="30">
        <v>45931</v>
      </c>
      <c r="C16" s="31"/>
      <c r="D16" s="32">
        <v>25</v>
      </c>
      <c r="E16" s="33" t="s">
        <v>16</v>
      </c>
      <c r="F16" s="23" t="s">
        <v>40</v>
      </c>
      <c r="G16" s="88" t="s">
        <v>45</v>
      </c>
      <c r="O16">
        <v>40</v>
      </c>
    </row>
    <row r="17" spans="1:15" x14ac:dyDescent="0.25">
      <c r="A17" s="63">
        <f>IF(ISBLANK(B17),"",_xlfn.ISOWEEKNUM('Journal de travail'!$B17))</f>
        <v>41</v>
      </c>
      <c r="B17" s="34">
        <v>45938</v>
      </c>
      <c r="C17" s="35">
        <v>3</v>
      </c>
      <c r="D17" s="36">
        <v>0</v>
      </c>
      <c r="E17" s="37" t="s">
        <v>16</v>
      </c>
      <c r="F17" s="23" t="s">
        <v>46</v>
      </c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hyperlinks>
    <hyperlink ref="G15" r:id="rId1" xr:uid="{866ECF82-C99A-4B22-A2A1-C777386B2AB3}"/>
    <hyperlink ref="G16" r:id="rId2" xr:uid="{8672D784-C328-4A1C-B366-61295ADF3CA2}"/>
  </hyperlinks>
  <pageMargins left="0.7" right="0.7" top="0.75" bottom="0.75" header="0.3" footer="0.3"/>
  <pageSetup paperSize="9" orientation="portrait"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4" workbookViewId="0">
      <selection activeCell="G11" sqref="G11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88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180</v>
      </c>
      <c r="B6">
        <f>SUMIF('Journal de travail'!$E$7:$E$532,Plannification!E6,'Journal de travail'!$D$7:$D$532)</f>
        <v>85</v>
      </c>
      <c r="C6">
        <f t="shared" ref="C6:C10" si="0">SUM(A6:B6)</f>
        <v>265</v>
      </c>
      <c r="E6" s="70" t="str">
        <f>'Journal de travail'!M8</f>
        <v>Analyse</v>
      </c>
      <c r="F6" s="71" t="str">
        <f>QUOTIENT(SUM(A6:B6),60)&amp;" h "&amp;TEXT(MOD(SUM(A6:B6),60), "00")&amp;" min"</f>
        <v>4 h 25 min</v>
      </c>
      <c r="G6" s="72">
        <f>SUM(A6:B6)/$C$11</f>
        <v>0.24537037037037038</v>
      </c>
      <c r="L6" s="51" t="str">
        <f>'Journal de travail'!M8</f>
        <v>Analyse</v>
      </c>
      <c r="M6" s="52" t="str">
        <f>INT($F$2*N6)&amp;" h "&amp;TEXT(ROUND(MOD($F$2*N6,1)*60,0),"00")&amp;" m"</f>
        <v>17 h 36 m</v>
      </c>
      <c r="N6" s="58">
        <v>0.2</v>
      </c>
    </row>
    <row r="7" spans="1:14" x14ac:dyDescent="0.3">
      <c r="A7">
        <f>SUMIF('Journal de travail'!$E$7:$E$532,Plannification!E7,'Journal de travail'!$C$7:$C$532)*60</f>
        <v>660</v>
      </c>
      <c r="B7">
        <f>SUMIF('Journal de travail'!$E$7:$E$532,Plannification!E7,'Journal de travail'!$D$7:$D$532)</f>
        <v>155</v>
      </c>
      <c r="C7">
        <f t="shared" si="0"/>
        <v>815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13 h 35 min</v>
      </c>
      <c r="G7" s="75">
        <f t="shared" ref="G7:G9" si="2">SUM(A7:B7)/$C$11</f>
        <v>0.75462962962962965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35 h 12 m</v>
      </c>
      <c r="N7" s="59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8 h 48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>
        <f t="shared" si="2"/>
        <v>0</v>
      </c>
      <c r="L9" s="55" t="str">
        <f>'Journal de travail'!M11</f>
        <v>Documentation</v>
      </c>
      <c r="M9" s="52" t="str">
        <f t="shared" si="3"/>
        <v>22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4 h 24 m</v>
      </c>
      <c r="N10" s="83">
        <v>0.05</v>
      </c>
    </row>
    <row r="11" spans="1:14" x14ac:dyDescent="0.3">
      <c r="A11">
        <f>SUM(A6:A10)</f>
        <v>840</v>
      </c>
      <c r="B11">
        <f>SUM(B6:B10)</f>
        <v>240</v>
      </c>
      <c r="C11">
        <f>SUM(A11:B11)</f>
        <v>1080</v>
      </c>
      <c r="E11" s="81" t="s">
        <v>29</v>
      </c>
      <c r="F11" s="71" t="str">
        <f t="shared" si="1"/>
        <v>18 h 00 min</v>
      </c>
      <c r="G11" s="82">
        <f>C11/C12</f>
        <v>0.20454545454545456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5280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55" zoomScaleNormal="55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e4feb582a55ffdb09dc3e9683de3a0f4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7de6b5cf9a643ad34071d878fa0a2292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6145332-c31d-4f83-b4dc-56dd73bfd870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f20a0681-8b2f-4a46-9dab-cf1520193f81"/>
    <ds:schemaRef ds:uri="932fafb7-d8e0-4a14-bee3-33aad5c71309"/>
  </ds:schemaRefs>
</ds:datastoreItem>
</file>

<file path=customXml/itemProps2.xml><?xml version="1.0" encoding="utf-8"?>
<ds:datastoreItem xmlns:ds="http://schemas.openxmlformats.org/officeDocument/2006/customXml" ds:itemID="{FA9A8432-080D-413D-841B-3BCFB73C0B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Emma Blanchoud</cp:lastModifiedBy>
  <cp:revision/>
  <dcterms:created xsi:type="dcterms:W3CDTF">2023-11-21T20:00:34Z</dcterms:created>
  <dcterms:modified xsi:type="dcterms:W3CDTF">2025-10-08T14:36:22Z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