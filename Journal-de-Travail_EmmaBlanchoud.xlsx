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aB\Documents\GitHub\Plot-those-lines\"/>
    </mc:Choice>
  </mc:AlternateContent>
  <bookViews>
    <workbookView xWindow="28680" yWindow="705" windowWidth="29040" windowHeight="15840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<sst xmlns="http://schemas.openxmlformats.org/spreadsheetml/2006/main" count="76" uniqueCount="53">
  <si>
    <t>Journal de travail</t>
  </si>
  <si>
    <t>Auteur:</t>
  </si>
  <si>
    <t>Projet:</t>
  </si>
  <si>
    <t>Temps total:</t>
  </si>
  <si>
    <t>Date:</t>
  </si>
  <si>
    <t>29.08.2025 au 31.10.2025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</si>
  <si>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</si>
  <si>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</si>
  <si>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</si>
  <si>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</si>
  <si>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</si>
  <si>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</si>
  <si>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</si>
  <si>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</si>
  <si>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Documentation</t>
  </si>
  <si>
    <t>Analyse</t>
  </si>
  <si>
    <t>Implémentation</t>
  </si>
  <si>
    <t>Test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</si>
  <si>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</si>
  <si>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</si>
  <si>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</si>
  <si>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</si>
  <si>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</si>
  <si>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</si>
  <si>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</si>
  <si>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</si>
  <si>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</si>
  <si>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</si>
  <si>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</si>
  <si>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</si>
  <si>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PlotThoseLines</t>
  </si>
  <si>
    <t>Blanchoud Emma</t>
  </si>
  <si>
    <t xml:space="preserve">Compréhension du projet et création de la maquette </t>
  </si>
  <si>
    <t>Terminer la maquette et faire valider</t>
  </si>
  <si>
    <t>Création du projet et essaie d'afficher un graphique</t>
  </si>
  <si>
    <t xml:space="preserve">Recherche sur blazor et recherche d'une librairie de graphique </t>
  </si>
  <si>
    <t>Continuer dessayer d'afficher un graphique</t>
  </si>
  <si>
    <t>Tester les extensions avec tout les types de projet pour essayer d'afficher un graphique</t>
  </si>
  <si>
    <t>Aucune extension ne permet d'afficher un graphique (Blazorise, ChartJS)</t>
  </si>
  <si>
    <t>Le problème ne vient pas des extensions mais du projet visual studio 2022</t>
  </si>
  <si>
    <t>Modification des données du graphique</t>
  </si>
  <si>
    <t>Recherche d'un autre moyen d'utiliser des graphiques avec Blazor</t>
  </si>
  <si>
    <t>Création de l'application avec le modèle .NET MAUI Blazor Hybrid App</t>
  </si>
  <si>
    <t>Ajout d'un graphique avec des données de test</t>
  </si>
  <si>
    <t>https://github.com/apexcharts/Blazor-ApexCharts</t>
  </si>
  <si>
    <t>https://apexcharts.com/docs/options/</t>
  </si>
  <si>
    <t>Ajouter un csv ou json dans le graphique (en cours)</t>
  </si>
  <si>
    <t>Ajout des csv et affichage des lignes dans le graphique</t>
  </si>
  <si>
    <t>Ajout de l'option du choix des couleurs des lignes du graphique</t>
  </si>
  <si>
    <t>Création d'un service pour gérer le filtre de date</t>
  </si>
  <si>
    <t>Ajouter le composant du filtre</t>
  </si>
  <si>
    <t>Modifier la home page pour utiliser le filtre</t>
  </si>
  <si>
    <t>Test avec plusieurs fichiers avec différentes tranches de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</si>
</sst>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]dd/mm/yyyy;@"/>
    <numFmt numFmtId="165" formatCode="[$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89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1" fillId="13" borderId="2" xfId="0" applyNumberFormat="1" applyFont="1" applyFill="1" applyBorder="1" applyProtection="1">
      <protection locked="0"/>
    </xf>
    <xf numFmtId="0" fontId="16" fillId="3" borderId="0" xfId="1" applyFill="1" applyAlignment="1" applyProtection="1">
      <alignment wrapText="1"/>
      <protection locked="0"/>
    </xf>
    <xf numFmtId="0" fontId="16" fillId="0" borderId="0" xfId="1" applyAlignment="1" applyProtection="1">
      <alignment wrapText="1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2">
    <cellStyle name="Lien hypertexte" xfId="1" builtinId="8"/>
    <cellStyle name="Normal" xfId="0" builtinId="0"/>
  </cellStyles>
  <dxfs count="135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265</c:v>
                </c:pt>
                <c:pt idx="1">
                  <c:v>1015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877-BF46-A280-9AE4DAD15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DDD9-EE41-8CD3-55D873EA4BB9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DDD9-EE41-8CD3-55D873EA4BB9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DDD9-EE41-8CD3-55D873EA4BB9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DDD9-EE41-8CD3-55D873EA4BB9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3.18357149179585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3FA4-1D44-BA94-80D9B5CA27D4}"/>
                </c:ex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4031281464024517E-2"/>
                  <c:y val="-3.088793290531091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FA4-1D44-BA94-80D9B5CA27D4}"/>
                </c:ext>
                <c:ext xmlns:c15="http://schemas.microsoft.com/office/drawing/2012/chart" uri="{CE6537A1-D6FC-4f65-9D91-7224C49458BB}"/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5"/>
                <c:pt idx="0">
                  <c:v>0.20384615384615384</c:v>
                </c:pt>
                <c:pt idx="1">
                  <c:v>0.78076923076923077</c:v>
                </c:pt>
                <c:pt idx="2">
                  <c:v>1.5384615384615385E-2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5334664"/>
        <c:axId val="175335056"/>
      </c:barChart>
      <c:catAx>
        <c:axId val="175334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335056"/>
        <c:crosses val="autoZero"/>
        <c:auto val="1"/>
        <c:lblAlgn val="ctr"/>
        <c:lblOffset val="100"/>
        <c:noMultiLvlLbl val="0"/>
      </c:catAx>
      <c:valAx>
        <c:axId val="1753350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5334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6:G532" totalsRowShown="0" headerRowDxfId="125" tableBorderDxfId="124">
  <autoFilter ref="A6:G532"/>
  <tableColumns count="7">
    <tableColumn id="1" name="Semaine" dataDxfId="123">
      <calculatedColumnFormula>IF(ISBLANK(B7),"",_xlfn.ISOWEEKNUM('Journal de travail'!$B7))</calculatedColumnFormula>
    </tableColumn>
    <tableColumn id="2" name="Jour" dataDxfId="122"/>
    <tableColumn id="3" name="h.      " dataDxfId="121"/>
    <tableColumn id="4" name="min." dataDxfId="120"/>
    <tableColumn id="5" name="Type" dataDxfId="119"/>
    <tableColumn id="6" name="Description" dataDxfId="118"/>
    <tableColumn id="7" name="Remarques/problèmes" dataDxfId="1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excharts.com/docs/options/" TargetMode="External"/><Relationship Id="rId1" Type="http://schemas.openxmlformats.org/officeDocument/2006/relationships/hyperlink" Target="https://github.com/apexcharts/Blazor-ApexCharts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32"/>
  <sheetViews>
    <sheetView tabSelected="1" zoomScale="120" zoomScaleNormal="120" workbookViewId="0">
      <pane ySplit="6" topLeftCell="A7" activePane="bottomLeft" state="frozen"/>
      <selection pane="bottomLeft" activeCell="F26" sqref="F26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8" t="s">
        <v>1</v>
      </c>
      <c r="B2" s="88"/>
      <c r="C2" s="86" t="s">
        <v>31</v>
      </c>
      <c r="D2" s="86"/>
      <c r="E2" s="86"/>
      <c r="F2" s="5" t="s">
        <v>2</v>
      </c>
      <c r="G2" s="64" t="s">
        <v>30</v>
      </c>
    </row>
    <row r="3" spans="1:15" ht="23.25" x14ac:dyDescent="0.35">
      <c r="A3" s="88" t="s">
        <v>3</v>
      </c>
      <c r="B3" s="88"/>
      <c r="C3" s="67" t="str">
        <f>QUOTIENT(E4,60)&amp;" heures "&amp;MOD(E4,60)&amp;" minutes"</f>
        <v>21 heures 40 minutes</v>
      </c>
      <c r="D3" s="17"/>
      <c r="E3" s="3"/>
      <c r="F3" s="4" t="s">
        <v>4</v>
      </c>
      <c r="G3" s="65" t="s">
        <v>5</v>
      </c>
    </row>
    <row r="4" spans="1:15" ht="23.25" hidden="1" x14ac:dyDescent="0.35">
      <c r="B4" s="5"/>
      <c r="C4" s="17">
        <f>SUBTOTAL(9,$C$7:$C$531)*60</f>
        <v>960</v>
      </c>
      <c r="D4" s="17">
        <f>SUBTOTAL(9,$D$7:$D$531)</f>
        <v>340</v>
      </c>
      <c r="E4" s="24">
        <f>SUM(C4:D4)</f>
        <v>1300</v>
      </c>
      <c r="F4" s="4"/>
      <c r="G4" s="6"/>
    </row>
    <row r="5" spans="1:15" x14ac:dyDescent="0.25">
      <c r="C5" s="87" t="s">
        <v>6</v>
      </c>
      <c r="D5" s="87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9</v>
      </c>
      <c r="D6" s="16" t="s">
        <v>10</v>
      </c>
      <c r="E6" s="14" t="s">
        <v>11</v>
      </c>
      <c r="F6" s="14" t="s">
        <v>12</v>
      </c>
      <c r="G6" s="14" t="s">
        <v>13</v>
      </c>
    </row>
    <row r="7" spans="1:15" x14ac:dyDescent="0.25">
      <c r="A7" s="61">
        <f>IF(ISBLANK(B7),"",_xlfn.ISOWEEKNUM('Journal de travail'!$B7))</f>
        <v>36</v>
      </c>
      <c r="B7" s="26">
        <v>45903</v>
      </c>
      <c r="C7" s="27">
        <v>3</v>
      </c>
      <c r="D7" s="28">
        <v>0</v>
      </c>
      <c r="E7" s="29" t="s">
        <v>15</v>
      </c>
      <c r="F7" s="23" t="s">
        <v>32</v>
      </c>
      <c r="G7" s="38"/>
    </row>
    <row r="8" spans="1:15" x14ac:dyDescent="0.25">
      <c r="A8" s="62">
        <f>IF(ISBLANK(B8),"",_xlfn.ISOWEEKNUM('Journal de travail'!$B8))</f>
        <v>37</v>
      </c>
      <c r="B8" s="30">
        <v>45910</v>
      </c>
      <c r="C8" s="31"/>
      <c r="D8" s="32">
        <v>20</v>
      </c>
      <c r="E8" s="33" t="s">
        <v>15</v>
      </c>
      <c r="F8" s="23" t="s">
        <v>33</v>
      </c>
      <c r="G8" s="39"/>
      <c r="M8" t="s">
        <v>15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37</v>
      </c>
      <c r="B9" s="34">
        <v>45910</v>
      </c>
      <c r="C9" s="35">
        <v>2</v>
      </c>
      <c r="D9" s="36">
        <v>40</v>
      </c>
      <c r="E9" s="37" t="s">
        <v>16</v>
      </c>
      <c r="F9" s="23" t="s">
        <v>34</v>
      </c>
      <c r="G9" s="40"/>
      <c r="M9" t="s">
        <v>16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38</v>
      </c>
      <c r="B10" s="30">
        <v>45917</v>
      </c>
      <c r="C10" s="31"/>
      <c r="D10" s="32">
        <v>45</v>
      </c>
      <c r="E10" s="33" t="s">
        <v>15</v>
      </c>
      <c r="F10" s="23" t="s">
        <v>35</v>
      </c>
      <c r="G10" s="39"/>
      <c r="M10" t="s">
        <v>17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38</v>
      </c>
      <c r="B11" s="34">
        <v>45917</v>
      </c>
      <c r="C11" s="35">
        <v>2</v>
      </c>
      <c r="D11" s="36">
        <v>15</v>
      </c>
      <c r="E11" s="37" t="s">
        <v>16</v>
      </c>
      <c r="F11" s="23" t="s">
        <v>36</v>
      </c>
      <c r="G11" s="40" t="s">
        <v>38</v>
      </c>
      <c r="M11" t="s">
        <v>14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39</v>
      </c>
      <c r="B12" s="30">
        <v>45924</v>
      </c>
      <c r="C12" s="31">
        <v>3</v>
      </c>
      <c r="D12" s="32">
        <v>0</v>
      </c>
      <c r="E12" s="33" t="s">
        <v>16</v>
      </c>
      <c r="F12" s="23" t="s">
        <v>37</v>
      </c>
      <c r="G12" s="39" t="s">
        <v>39</v>
      </c>
      <c r="M12" t="s">
        <v>18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40</v>
      </c>
      <c r="B13" s="34">
        <v>45931</v>
      </c>
      <c r="C13" s="35"/>
      <c r="D13" s="36">
        <v>20</v>
      </c>
      <c r="E13" s="37" t="s">
        <v>15</v>
      </c>
      <c r="F13" s="23" t="s">
        <v>41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40</v>
      </c>
      <c r="B14" s="30">
        <v>45931</v>
      </c>
      <c r="C14" s="31"/>
      <c r="D14" s="32">
        <v>35</v>
      </c>
      <c r="E14" s="33" t="s">
        <v>16</v>
      </c>
      <c r="F14" s="23" t="s">
        <v>42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40</v>
      </c>
      <c r="B15" s="34">
        <v>45931</v>
      </c>
      <c r="C15" s="35">
        <v>1</v>
      </c>
      <c r="D15" s="36">
        <v>40</v>
      </c>
      <c r="E15" s="37" t="s">
        <v>16</v>
      </c>
      <c r="F15" s="23" t="s">
        <v>43</v>
      </c>
      <c r="G15" s="84" t="s">
        <v>44</v>
      </c>
      <c r="N15">
        <v>8</v>
      </c>
      <c r="O15">
        <v>35</v>
      </c>
    </row>
    <row r="16" spans="1:15" x14ac:dyDescent="0.25">
      <c r="A16" s="62">
        <f>IF(ISBLANK(B16),"",_xlfn.ISOWEEKNUM('Journal de travail'!$B16))</f>
        <v>40</v>
      </c>
      <c r="B16" s="30">
        <v>45931</v>
      </c>
      <c r="C16" s="31"/>
      <c r="D16" s="32">
        <v>25</v>
      </c>
      <c r="E16" s="33" t="s">
        <v>16</v>
      </c>
      <c r="F16" s="23" t="s">
        <v>40</v>
      </c>
      <c r="G16" s="85" t="s">
        <v>45</v>
      </c>
      <c r="O16">
        <v>40</v>
      </c>
    </row>
    <row r="17" spans="1:15" x14ac:dyDescent="0.25">
      <c r="A17" s="63">
        <f>IF(ISBLANK(B17),"",_xlfn.ISOWEEKNUM('Journal de travail'!$B17))</f>
        <v>41</v>
      </c>
      <c r="B17" s="34">
        <v>45938</v>
      </c>
      <c r="C17" s="35">
        <v>3</v>
      </c>
      <c r="D17" s="36">
        <v>0</v>
      </c>
      <c r="E17" s="37" t="s">
        <v>16</v>
      </c>
      <c r="F17" s="23" t="s">
        <v>46</v>
      </c>
      <c r="G17" s="40"/>
      <c r="O17">
        <v>45</v>
      </c>
    </row>
    <row r="18" spans="1:15" x14ac:dyDescent="0.25">
      <c r="A18" s="62" t="str">
        <f>IF(ISBLANK(B18),"",_xlfn.ISOWEEKNUM('Journal de travail'!$B18))</f>
        <v/>
      </c>
      <c r="B18" s="30"/>
      <c r="C18" s="31">
        <v>1</v>
      </c>
      <c r="D18" s="32">
        <v>0</v>
      </c>
      <c r="E18" s="37" t="s">
        <v>16</v>
      </c>
      <c r="F18" s="23" t="s">
        <v>47</v>
      </c>
      <c r="G18" s="39"/>
      <c r="O18">
        <v>50</v>
      </c>
    </row>
    <row r="19" spans="1:15" x14ac:dyDescent="0.25">
      <c r="A19" s="63" t="str">
        <f>IF(ISBLANK(B19),"",_xlfn.ISOWEEKNUM('Journal de travail'!$B19))</f>
        <v/>
      </c>
      <c r="B19" s="34"/>
      <c r="C19" s="35"/>
      <c r="D19" s="36">
        <v>20</v>
      </c>
      <c r="E19" s="37" t="s">
        <v>17</v>
      </c>
      <c r="F19" s="23" t="s">
        <v>52</v>
      </c>
      <c r="G19" s="40"/>
      <c r="O19">
        <v>55</v>
      </c>
    </row>
    <row r="20" spans="1:15" x14ac:dyDescent="0.25">
      <c r="A20" s="62" t="str">
        <f>IF(ISBLANK(B20),"",_xlfn.ISOWEEKNUM('Journal de travail'!$B20))</f>
        <v/>
      </c>
      <c r="B20" s="30"/>
      <c r="C20" s="35"/>
      <c r="D20" s="36">
        <v>40</v>
      </c>
      <c r="E20" s="37" t="s">
        <v>16</v>
      </c>
      <c r="F20" s="23" t="s">
        <v>48</v>
      </c>
      <c r="G20" s="39"/>
    </row>
    <row r="21" spans="1:15" x14ac:dyDescent="0.25">
      <c r="A21" s="63" t="str">
        <f>IF(ISBLANK(B21),"",_xlfn.ISOWEEKNUM('Journal de travail'!$B21))</f>
        <v/>
      </c>
      <c r="B21" s="34"/>
      <c r="C21" s="31">
        <v>1</v>
      </c>
      <c r="D21" s="32">
        <v>15</v>
      </c>
      <c r="E21" s="37" t="s">
        <v>16</v>
      </c>
      <c r="F21" s="23" t="s">
        <v>49</v>
      </c>
      <c r="G21" s="40"/>
    </row>
    <row r="22" spans="1:15" x14ac:dyDescent="0.25">
      <c r="A22" s="62" t="str">
        <f>IF(ISBLANK(B22),"",_xlfn.ISOWEEKNUM('Journal de travail'!$B22))</f>
        <v/>
      </c>
      <c r="B22" s="30"/>
      <c r="C22" s="31"/>
      <c r="D22" s="36">
        <v>10</v>
      </c>
      <c r="E22" s="37" t="s">
        <v>16</v>
      </c>
      <c r="F22" s="23" t="s">
        <v>50</v>
      </c>
      <c r="G22" s="39"/>
    </row>
    <row r="23" spans="1:15" x14ac:dyDescent="0.25">
      <c r="A23" s="63" t="str">
        <f>IF(ISBLANK(B23),"",_xlfn.ISOWEEKNUM('Journal de travail'!$B23))</f>
        <v/>
      </c>
      <c r="B23" s="34"/>
      <c r="C23" s="35"/>
      <c r="D23" s="32">
        <v>15</v>
      </c>
      <c r="E23" s="37" t="s">
        <v>16</v>
      </c>
      <c r="F23" s="23" t="s">
        <v>51</v>
      </c>
      <c r="G23" s="40"/>
    </row>
    <row r="24" spans="1:15" x14ac:dyDescent="0.2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19 E24:E532">
    <cfRule type="expression" dxfId="134" priority="37">
      <formula>$E7="Absent"</formula>
    </cfRule>
    <cfRule type="expression" dxfId="133" priority="38">
      <formula>$E7="Autre"</formula>
    </cfRule>
    <cfRule type="expression" dxfId="132" priority="39" stopIfTrue="1">
      <formula>$E7="Design"</formula>
    </cfRule>
    <cfRule type="expression" dxfId="131" priority="40" stopIfTrue="1">
      <formula>$E7="Présentation"</formula>
    </cfRule>
    <cfRule type="expression" dxfId="130" priority="41" stopIfTrue="1">
      <formula>$E7="Meeting"</formula>
    </cfRule>
    <cfRule type="expression" dxfId="129" priority="42" stopIfTrue="1">
      <formula>$E7="Documentation"</formula>
    </cfRule>
    <cfRule type="expression" dxfId="128" priority="43" stopIfTrue="1">
      <formula>$E7="Test"</formula>
    </cfRule>
    <cfRule type="expression" dxfId="127" priority="44" stopIfTrue="1">
      <formula>$E7="Analyse"</formula>
    </cfRule>
    <cfRule type="expression" dxfId="126" priority="46" stopIfTrue="1">
      <formula>$E7="Implémentation"</formula>
    </cfRule>
  </conditionalFormatting>
  <conditionalFormatting sqref="E23">
    <cfRule type="expression" dxfId="71" priority="28">
      <formula>$E23="Absent"</formula>
    </cfRule>
    <cfRule type="expression" dxfId="70" priority="29">
      <formula>$E23="Autre"</formula>
    </cfRule>
    <cfRule type="expression" dxfId="69" priority="30" stopIfTrue="1">
      <formula>$E23="Design"</formula>
    </cfRule>
    <cfRule type="expression" dxfId="68" priority="31" stopIfTrue="1">
      <formula>$E23="Présentation"</formula>
    </cfRule>
    <cfRule type="expression" dxfId="67" priority="32" stopIfTrue="1">
      <formula>$E23="Meeting"</formula>
    </cfRule>
    <cfRule type="expression" dxfId="66" priority="33" stopIfTrue="1">
      <formula>$E23="Documentation"</formula>
    </cfRule>
    <cfRule type="expression" dxfId="65" priority="34" stopIfTrue="1">
      <formula>$E23="Test"</formula>
    </cfRule>
    <cfRule type="expression" dxfId="64" priority="35" stopIfTrue="1">
      <formula>$E23="Analyse"</formula>
    </cfRule>
    <cfRule type="expression" dxfId="63" priority="36" stopIfTrue="1">
      <formula>$E23="Implémentation"</formula>
    </cfRule>
  </conditionalFormatting>
  <conditionalFormatting sqref="E22">
    <cfRule type="expression" dxfId="53" priority="19">
      <formula>$E22="Absent"</formula>
    </cfRule>
    <cfRule type="expression" dxfId="52" priority="20">
      <formula>$E22="Autre"</formula>
    </cfRule>
    <cfRule type="expression" dxfId="51" priority="21" stopIfTrue="1">
      <formula>$E22="Design"</formula>
    </cfRule>
    <cfRule type="expression" dxfId="50" priority="22" stopIfTrue="1">
      <formula>$E22="Présentation"</formula>
    </cfRule>
    <cfRule type="expression" dxfId="49" priority="23" stopIfTrue="1">
      <formula>$E22="Meeting"</formula>
    </cfRule>
    <cfRule type="expression" dxfId="48" priority="24" stopIfTrue="1">
      <formula>$E22="Documentation"</formula>
    </cfRule>
    <cfRule type="expression" dxfId="47" priority="25" stopIfTrue="1">
      <formula>$E22="Test"</formula>
    </cfRule>
    <cfRule type="expression" dxfId="46" priority="26" stopIfTrue="1">
      <formula>$E22="Analyse"</formula>
    </cfRule>
    <cfRule type="expression" dxfId="45" priority="27" stopIfTrue="1">
      <formula>$E22="Implémentation"</formula>
    </cfRule>
  </conditionalFormatting>
  <conditionalFormatting sqref="E21">
    <cfRule type="expression" dxfId="35" priority="10">
      <formula>$E21="Absent"</formula>
    </cfRule>
    <cfRule type="expression" dxfId="34" priority="11">
      <formula>$E21="Autre"</formula>
    </cfRule>
    <cfRule type="expression" dxfId="33" priority="12" stopIfTrue="1">
      <formula>$E21="Design"</formula>
    </cfRule>
    <cfRule type="expression" dxfId="32" priority="13" stopIfTrue="1">
      <formula>$E21="Présentation"</formula>
    </cfRule>
    <cfRule type="expression" dxfId="31" priority="14" stopIfTrue="1">
      <formula>$E21="Meeting"</formula>
    </cfRule>
    <cfRule type="expression" dxfId="30" priority="15" stopIfTrue="1">
      <formula>$E21="Documentation"</formula>
    </cfRule>
    <cfRule type="expression" dxfId="29" priority="16" stopIfTrue="1">
      <formula>$E21="Test"</formula>
    </cfRule>
    <cfRule type="expression" dxfId="28" priority="17" stopIfTrue="1">
      <formula>$E21="Analyse"</formula>
    </cfRule>
    <cfRule type="expression" dxfId="27" priority="18" stopIfTrue="1">
      <formula>$E21="Implémentation"</formula>
    </cfRule>
  </conditionalFormatting>
  <conditionalFormatting sqref="E20">
    <cfRule type="expression" dxfId="17" priority="1">
      <formula>$E20="Absent"</formula>
    </cfRule>
    <cfRule type="expression" dxfId="16" priority="2">
      <formula>$E20="Autre"</formula>
    </cfRule>
    <cfRule type="expression" dxfId="15" priority="3" stopIfTrue="1">
      <formula>$E20="Design"</formula>
    </cfRule>
    <cfRule type="expression" dxfId="14" priority="4" stopIfTrue="1">
      <formula>$E20="Présentation"</formula>
    </cfRule>
    <cfRule type="expression" dxfId="13" priority="5" stopIfTrue="1">
      <formula>$E20="Meeting"</formula>
    </cfRule>
    <cfRule type="expression" dxfId="12" priority="6" stopIfTrue="1">
      <formula>$E20="Documentation"</formula>
    </cfRule>
    <cfRule type="expression" dxfId="11" priority="7" stopIfTrue="1">
      <formula>$E20="Test"</formula>
    </cfRule>
    <cfRule type="expression" dxfId="10" priority="8" stopIfTrue="1">
      <formula>$E20="Analyse"</formula>
    </cfRule>
    <cfRule type="expression" dxfId="9" priority="9" stopIfTrue="1">
      <formula>$E20="Implémentation"</formula>
    </cfRule>
  </conditionalFormatting>
  <dataValidations count="3">
    <dataValidation type="list" allowBlank="1" showInputMessage="1" showErrorMessage="1" sqref="C7:C532">
      <formula1>$N$7:$N$15</formula1>
    </dataValidation>
    <dataValidation type="list" allowBlank="1" showInputMessage="1" showErrorMessage="1" sqref="D7:D532">
      <formula1>$O$7:$O$19</formula1>
    </dataValidation>
    <dataValidation type="list" allowBlank="1" showInputMessage="1" showErrorMessage="1" sqref="E7:E532">
      <formula1>$M$7:$M$12</formula1>
    </dataValidation>
  </dataValidations>
  <hyperlinks>
    <hyperlink ref="G15" r:id="rId1"/>
    <hyperlink ref="G16" r:id="rId2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N13"/>
  <sheetViews>
    <sheetView topLeftCell="D4" workbookViewId="0">
      <selection activeCell="G11" sqref="G11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19</v>
      </c>
      <c r="F2" s="68">
        <v>88</v>
      </c>
      <c r="G2" s="66" t="s">
        <v>20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21</v>
      </c>
      <c r="L4" s="66" t="s">
        <v>22</v>
      </c>
      <c r="M4" s="41"/>
      <c r="N4" s="19"/>
    </row>
    <row r="5" spans="1:14" x14ac:dyDescent="0.3">
      <c r="A5" t="s">
        <v>23</v>
      </c>
      <c r="B5" t="s">
        <v>24</v>
      </c>
      <c r="C5" s="41" t="s">
        <v>25</v>
      </c>
      <c r="D5" s="42"/>
      <c r="E5" s="45" t="s">
        <v>26</v>
      </c>
      <c r="F5" s="46" t="s">
        <v>27</v>
      </c>
      <c r="G5" s="47" t="s">
        <v>28</v>
      </c>
      <c r="L5" s="48" t="s">
        <v>26</v>
      </c>
      <c r="M5" s="49" t="s">
        <v>27</v>
      </c>
      <c r="N5" s="50" t="s">
        <v>28</v>
      </c>
    </row>
    <row r="6" spans="1:14" x14ac:dyDescent="0.3">
      <c r="A6">
        <f>SUMIF('Journal de travail'!$E$7:$E$532,Plannification!E6,'Journal de travail'!$C$7:$C$532)*60</f>
        <v>180</v>
      </c>
      <c r="B6">
        <f>SUMIF('Journal de travail'!$E$7:$E$532,Plannification!E6,'Journal de travail'!$D$7:$D$532)</f>
        <v>85</v>
      </c>
      <c r="C6">
        <f t="shared" ref="C6:C10" si="0">SUM(A6:B6)</f>
        <v>265</v>
      </c>
      <c r="E6" s="70" t="str">
        <f>'Journal de travail'!M8</f>
        <v>Analyse</v>
      </c>
      <c r="F6" s="71" t="str">
        <f>QUOTIENT(SUM(A6:B6),60)&amp;" h "&amp;TEXT(MOD(SUM(A6:B6),60), "00")&amp;" min"</f>
        <v>4 h 25 min</v>
      </c>
      <c r="G6" s="72">
        <f>SUM(A6:B6)/$C$11</f>
        <v>0.20384615384615384</v>
      </c>
      <c r="L6" s="51" t="str">
        <f>'Journal de travail'!M8</f>
        <v>Analyse</v>
      </c>
      <c r="M6" s="52" t="str">
        <f>INT($F$2*N6)&amp;" h "&amp;TEXT(ROUND(MOD($F$2*N6,1)*60,0),"00")&amp;" m"</f>
        <v>17 h 36 m</v>
      </c>
      <c r="N6" s="58">
        <v>0.2</v>
      </c>
    </row>
    <row r="7" spans="1:14" x14ac:dyDescent="0.3">
      <c r="A7">
        <f>SUMIF('Journal de travail'!$E$7:$E$532,Plannification!E7,'Journal de travail'!$C$7:$C$532)*60</f>
        <v>780</v>
      </c>
      <c r="B7">
        <f>SUMIF('Journal de travail'!$E$7:$E$532,Plannification!E7,'Journal de travail'!$D$7:$D$532)</f>
        <v>235</v>
      </c>
      <c r="C7">
        <f t="shared" si="0"/>
        <v>1015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16 h 55 min</v>
      </c>
      <c r="G7" s="75">
        <f t="shared" ref="G7:G9" si="2">SUM(A7:B7)/$C$11</f>
        <v>0.78076923076923077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35 h 12 m</v>
      </c>
      <c r="N7" s="59">
        <v>0.4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20</v>
      </c>
      <c r="C8">
        <f t="shared" si="0"/>
        <v>20</v>
      </c>
      <c r="E8" s="76" t="str">
        <f>'Journal de travail'!M10</f>
        <v>Test</v>
      </c>
      <c r="F8" s="71" t="str">
        <f t="shared" si="1"/>
        <v>0 h 20 min</v>
      </c>
      <c r="G8" s="72">
        <f t="shared" si="2"/>
        <v>1.5384615384615385E-2</v>
      </c>
      <c r="L8" s="54" t="str">
        <f>'Journal de travail'!M10</f>
        <v>Test</v>
      </c>
      <c r="M8" s="52" t="str">
        <f t="shared" si="3"/>
        <v>8 h 48 m</v>
      </c>
      <c r="N8" s="58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77" t="str">
        <f>'Journal de travail'!M11</f>
        <v>Documentation</v>
      </c>
      <c r="F9" s="74" t="str">
        <f t="shared" si="1"/>
        <v>0 h 00 min</v>
      </c>
      <c r="G9" s="75">
        <f t="shared" si="2"/>
        <v>0</v>
      </c>
      <c r="L9" s="55" t="str">
        <f>'Journal de travail'!M11</f>
        <v>Documentation</v>
      </c>
      <c r="M9" s="52" t="str">
        <f t="shared" si="3"/>
        <v>22 h 00 m</v>
      </c>
      <c r="N9" s="59">
        <v>0.25</v>
      </c>
    </row>
    <row r="10" spans="1:14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18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18</v>
      </c>
      <c r="M10" s="52" t="str">
        <f t="shared" si="3"/>
        <v>4 h 24 m</v>
      </c>
      <c r="N10" s="83">
        <v>0.05</v>
      </c>
    </row>
    <row r="11" spans="1:14" x14ac:dyDescent="0.3">
      <c r="A11">
        <f>SUM(A6:A10)</f>
        <v>960</v>
      </c>
      <c r="B11">
        <f>SUM(B6:B10)</f>
        <v>340</v>
      </c>
      <c r="C11">
        <f>SUM(A11:B11)</f>
        <v>1300</v>
      </c>
      <c r="E11" s="81" t="s">
        <v>29</v>
      </c>
      <c r="F11" s="71" t="str">
        <f t="shared" si="1"/>
        <v>21 h 40 min</v>
      </c>
      <c r="G11" s="82">
        <f>C11/C12</f>
        <v>0.24621212121212122</v>
      </c>
      <c r="L11" s="56" t="s">
        <v>29</v>
      </c>
      <c r="M11" s="57"/>
      <c r="N11" s="60">
        <f>SUM(N6:N10)</f>
        <v>1</v>
      </c>
    </row>
    <row r="12" spans="1:14" x14ac:dyDescent="0.3">
      <c r="C12">
        <f>F2*60</f>
        <v>5280</v>
      </c>
    </row>
    <row r="13" spans="1:14" x14ac:dyDescent="0.3">
      <c r="F13" s="43"/>
    </row>
  </sheetData>
  <sheetProtection algorithmName="SHA-512" hashValue="pSYnPYn6lXcKz0Qj+I1jIXn9gbknLTkaLnwfEECSlP/A54MtZCqgxo1Qhps7lLnK7XLzNEorFQDF8LNxtj+/HA==" saltValue="Bc5SHBHm2oBmqMc3ptkeRg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5" zoomScaleNormal="55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e4feb582a55ffdb09dc3e9683de3a0f4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7de6b5cf9a643ad34071d878fa0a2292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6145332-c31d-4f83-b4dc-56dd73bfd870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0a0681-8b2f-4a46-9dab-cf1520193f81">
      <Terms xmlns="http://schemas.microsoft.com/office/infopath/2007/PartnerControls"/>
    </lcf76f155ced4ddcb4097134ff3c332f>
    <TaxCatchAll xmlns="932fafb7-d8e0-4a14-bee3-33aad5c71309" xsi:nil="true"/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9A8432-080D-413D-841B-3BCFB73C0B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f20a0681-8b2f-4a46-9dab-cf1520193f81"/>
    <ds:schemaRef ds:uri="932fafb7-d8e0-4a14-bee3-33aad5c713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EmmaB</cp:lastModifiedBy>
  <cp:revision/>
  <dcterms:created xsi:type="dcterms:W3CDTF">2023-11-21T20:00:34Z</dcterms:created>
  <dcterms:modified xsi:type="dcterms:W3CDTF">2025-10-26T22:04:39Z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