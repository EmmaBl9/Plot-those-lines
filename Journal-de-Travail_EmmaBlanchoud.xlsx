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70wvh\Desktop\"/>
    </mc:Choice>
  </mc:AlternateContent>
  <xr:revisionPtr revIDLastSave="0" documentId="13_ncr:1_{A3311F96-CF80-46D3-9D1C-D59EE3938258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<sst xmlns="http://schemas.openxmlformats.org/spreadsheetml/2006/main" count="38" uniqueCount="32">
  <si>
    <t>Journal de travail</t>
  </si>
  <si>
    <t>Auteur:</t>
  </si>
  <si>
    <t>Projet:</t>
  </si>
  <si>
    <t>Temps total:</t>
  </si>
  <si>
    <t>Date:</t>
  </si>
  <si>
    <t>29.08.2025 au 31.10.2025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</si>
  <si>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</si>
  <si>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</si>
  <si>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</si>
  <si>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</si>
  <si>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</si>
  <si>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</si>
  <si>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</si>
  <si>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</si>
  <si>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</si>
  <si>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</si>
  <si>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</si>
  <si>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</si>
  <si>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</si>
  <si>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</si>
  <si>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</si>
  <si>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</si>
  <si>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</si>
  <si>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</si>
  <si>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</si>
  <si>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</si>
  <si>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</si>
  <si>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</si>
  <si>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</si>
  <si>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</si>
  <si>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PlotThoseLines</t>
  </si>
  <si>
    <t>Blanchoud Emma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</si>
</sst>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C2" sqref="C2:E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31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0 heures 0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0</v>
      </c>
      <c r="E4" s="24">
        <f>SUM(C4:D4)</f>
        <v>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36</v>
      </c>
      <c r="B7" s="26">
        <v>45903</v>
      </c>
      <c r="C7" s="27"/>
      <c r="D7" s="28"/>
      <c r="E7" s="29"/>
      <c r="F7" s="23"/>
      <c r="G7" s="38"/>
    </row>
    <row r="8" spans="1:15" x14ac:dyDescent="0.25">
      <c r="A8" s="62">
        <f>IF(ISBLANK(B8),"",_xlfn.ISOWEEKNUM('Journal de travail'!$B8))</f>
        <v>36</v>
      </c>
      <c r="B8" s="30">
        <v>45903</v>
      </c>
      <c r="C8" s="31"/>
      <c r="D8" s="32"/>
      <c r="E8" s="33"/>
      <c r="F8" s="23"/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36</v>
      </c>
      <c r="B9" s="34">
        <v>45903</v>
      </c>
      <c r="C9" s="35"/>
      <c r="D9" s="36"/>
      <c r="E9" s="37"/>
      <c r="F9" s="23"/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37</v>
      </c>
      <c r="B10" s="30">
        <v>45910</v>
      </c>
      <c r="C10" s="31"/>
      <c r="D10" s="32"/>
      <c r="E10" s="33"/>
      <c r="F10" s="23"/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37</v>
      </c>
      <c r="B11" s="34">
        <v>45910</v>
      </c>
      <c r="C11" s="35"/>
      <c r="D11" s="36"/>
      <c r="E11" s="37"/>
      <c r="F11" s="23"/>
      <c r="G11" s="40"/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38</v>
      </c>
      <c r="B12" s="30">
        <v>45917</v>
      </c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38</v>
      </c>
      <c r="B13" s="34">
        <v>45917</v>
      </c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39</v>
      </c>
      <c r="B14" s="30">
        <v>45924</v>
      </c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39</v>
      </c>
      <c r="B15" s="34">
        <v>45924</v>
      </c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4" workbookViewId="0">
      <selection activeCell="G11" sqref="G11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 t="e">
        <f>SUM(A6:B6)/$C$11</f>
        <v>#DIV/0!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 t="e">
        <f t="shared" ref="G7:G9" si="2">SUM(A7:B7)/$C$11</f>
        <v>#DIV/0!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35 h 12 m</v>
      </c>
      <c r="N7" s="59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 t="e">
        <f t="shared" si="2"/>
        <v>#DIV/0!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 t="e">
        <f t="shared" si="2"/>
        <v>#DIV/0!</v>
      </c>
      <c r="L9" s="55" t="str">
        <f>'Journal de travail'!M11</f>
        <v>Documentation</v>
      </c>
      <c r="M9" s="52" t="str">
        <f t="shared" si="3"/>
        <v>22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 t="e">
        <f>SUM(A10:B10)/$C$11</f>
        <v>#DIV/0!</v>
      </c>
      <c r="L10" s="69" t="s">
        <v>18</v>
      </c>
      <c r="M10" s="52" t="str">
        <f t="shared" si="3"/>
        <v>4 h 24 m</v>
      </c>
      <c r="N10" s="83">
        <v>0.05</v>
      </c>
    </row>
    <row r="11" spans="1:14" x14ac:dyDescent="0.3">
      <c r="A11">
        <f>SUM(A6:A10)</f>
        <v>0</v>
      </c>
      <c r="B11">
        <f>SUM(B6:B10)</f>
        <v>0</v>
      </c>
      <c r="C11">
        <f>SUM(A11:B11)</f>
        <v>0</v>
      </c>
      <c r="E11" s="81" t="s">
        <v>29</v>
      </c>
      <c r="F11" s="71" t="str">
        <f t="shared" si="1"/>
        <v>0 h 00 min</v>
      </c>
      <c r="G11" s="82">
        <f>C11/C12</f>
        <v>0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55" zoomScaleNormal="55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e4feb582a55ffdb09dc3e9683de3a0f4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7de6b5cf9a643ad34071d878fa0a2292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6145332-c31d-4f83-b4dc-56dd73bfd870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FA9A8432-080D-413D-841B-3BCFB73C0B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Emma Blanchoud</cp:lastModifiedBy>
  <cp:revision/>
  <dcterms:created xsi:type="dcterms:W3CDTF">2023-11-21T20:00:34Z</dcterms:created>
  <dcterms:modified xsi:type="dcterms:W3CDTF">2025-09-24T14:34:49Z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